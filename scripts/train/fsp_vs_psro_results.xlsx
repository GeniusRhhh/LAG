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Pycharm\LAG\scripts\train\"/>
    </mc:Choice>
  </mc:AlternateContent>
  <xr:revisionPtr revIDLastSave="0" documentId="13_ncr:1_{A7F18386-C362-4A04-A0F6-3F71E3C2A233}" xr6:coauthVersionLast="47" xr6:coauthVersionMax="47" xr10:uidLastSave="{00000000-0000-0000-0000-000000000000}"/>
  <bookViews>
    <workbookView xWindow="6270" yWindow="660" windowWidth="21600" windowHeight="12450" xr2:uid="{00000000-000D-0000-FFFF-FFFF00000000}"/>
  </bookViews>
  <sheets>
    <sheet name="胜率统计" sheetId="1" r:id="rId1"/>
  </sheets>
  <calcPr calcId="191029"/>
</workbook>
</file>

<file path=xl/calcChain.xml><?xml version="1.0" encoding="utf-8"?>
<calcChain xmlns="http://schemas.openxmlformats.org/spreadsheetml/2006/main">
  <c r="L8" i="1" l="1"/>
  <c r="E8" i="1"/>
  <c r="D8" i="1"/>
  <c r="C8" i="1"/>
  <c r="L3" i="1"/>
  <c r="L4" i="1"/>
  <c r="L5" i="1"/>
  <c r="L6" i="1"/>
  <c r="L7" i="1"/>
  <c r="L2" i="1"/>
</calcChain>
</file>

<file path=xl/sharedStrings.xml><?xml version="1.0" encoding="utf-8"?>
<sst xmlns="http://schemas.openxmlformats.org/spreadsheetml/2006/main" count="36" uniqueCount="36">
  <si>
    <t>对战场次</t>
  </si>
  <si>
    <t>胜场数</t>
  </si>
  <si>
    <t>负场数</t>
  </si>
  <si>
    <t>平局数</t>
  </si>
  <si>
    <t>红方胜率</t>
  </si>
  <si>
    <t>红方败率</t>
  </si>
  <si>
    <t>平局率</t>
  </si>
  <si>
    <t>红方胜率_num</t>
  </si>
  <si>
    <t>红方败率_num</t>
  </si>
  <si>
    <t>平局率_num</t>
  </si>
  <si>
    <t>0-200</t>
  </si>
  <si>
    <t>94.5%</t>
  </si>
  <si>
    <t>0.0%</t>
  </si>
  <si>
    <t>5.5%</t>
  </si>
  <si>
    <t>200-400</t>
  </si>
  <si>
    <t>74.5%</t>
  </si>
  <si>
    <t>1.5%</t>
  </si>
  <si>
    <t>24.0%</t>
  </si>
  <si>
    <t>400-600</t>
  </si>
  <si>
    <t>33.5%</t>
  </si>
  <si>
    <t>13.5%</t>
  </si>
  <si>
    <t>53.0%</t>
  </si>
  <si>
    <t>600-800</t>
  </si>
  <si>
    <t>26.5%</t>
  </si>
  <si>
    <t>23.5%</t>
  </si>
  <si>
    <t>50.0%</t>
  </si>
  <si>
    <t>800-1000</t>
  </si>
  <si>
    <t>16.0%</t>
  </si>
  <si>
    <t>26.0%</t>
  </si>
  <si>
    <t>58.0%</t>
  </si>
  <si>
    <t>1000-1324</t>
  </si>
  <si>
    <t>19.1%</t>
  </si>
  <si>
    <t>24.7%</t>
  </si>
  <si>
    <t>56.2%</t>
  </si>
  <si>
    <t>回合范围</t>
    <phoneticPr fontId="2" type="noConversion"/>
  </si>
  <si>
    <t>不败率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</si>
</sst>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9" sqref="L9"/>
    </sheetView>
  </sheetViews>
  <sheetFormatPr defaultRowHeight="13.5" x14ac:dyDescent="0.15"/>
  <cols>
    <col min="1" max="2" width="9.75" bestFit="1" customWidth="1"/>
    <col min="3" max="5" width="7.75" bestFit="1" customWidth="1"/>
    <col min="6" max="7" width="9.75" bestFit="1" customWidth="1"/>
    <col min="8" max="8" width="7.75" bestFit="1" customWidth="1"/>
    <col min="9" max="10" width="14.625" bestFit="1" customWidth="1"/>
    <col min="11" max="11" width="12.5" bestFit="1" customWidth="1"/>
  </cols>
  <sheetData>
    <row r="1" spans="1:12" x14ac:dyDescent="0.15">
      <c r="A1" s="2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35</v>
      </c>
    </row>
    <row r="2" spans="1:12" x14ac:dyDescent="0.15">
      <c r="A2" t="s">
        <v>10</v>
      </c>
      <c r="B2">
        <v>200</v>
      </c>
      <c r="C2">
        <v>189</v>
      </c>
      <c r="D2">
        <v>0</v>
      </c>
      <c r="E2">
        <v>11</v>
      </c>
      <c r="F2" t="s">
        <v>11</v>
      </c>
      <c r="G2" t="s">
        <v>12</v>
      </c>
      <c r="H2" t="s">
        <v>13</v>
      </c>
      <c r="I2">
        <v>94.5</v>
      </c>
      <c r="J2">
        <v>0</v>
      </c>
      <c r="K2">
        <v>5.5</v>
      </c>
      <c r="L2">
        <f>(C2+E2)/B2*100%</f>
        <v>1</v>
      </c>
    </row>
    <row r="3" spans="1:12" x14ac:dyDescent="0.15">
      <c r="A3" t="s">
        <v>14</v>
      </c>
      <c r="B3">
        <v>200</v>
      </c>
      <c r="C3">
        <v>149</v>
      </c>
      <c r="D3">
        <v>3</v>
      </c>
      <c r="E3">
        <v>48</v>
      </c>
      <c r="F3" t="s">
        <v>15</v>
      </c>
      <c r="G3" t="s">
        <v>16</v>
      </c>
      <c r="H3" t="s">
        <v>17</v>
      </c>
      <c r="I3">
        <v>74.5</v>
      </c>
      <c r="J3">
        <v>1.5</v>
      </c>
      <c r="K3">
        <v>24</v>
      </c>
      <c r="L3">
        <f t="shared" ref="L3:L7" si="0">(C3+E3)/B3*100%</f>
        <v>0.98499999999999999</v>
      </c>
    </row>
    <row r="4" spans="1:12" x14ac:dyDescent="0.15">
      <c r="A4" t="s">
        <v>18</v>
      </c>
      <c r="B4">
        <v>200</v>
      </c>
      <c r="C4">
        <v>67</v>
      </c>
      <c r="D4">
        <v>27</v>
      </c>
      <c r="E4">
        <v>106</v>
      </c>
      <c r="F4" t="s">
        <v>19</v>
      </c>
      <c r="G4" t="s">
        <v>20</v>
      </c>
      <c r="H4" t="s">
        <v>21</v>
      </c>
      <c r="I4">
        <v>33.5</v>
      </c>
      <c r="J4">
        <v>13.5</v>
      </c>
      <c r="K4">
        <v>53</v>
      </c>
      <c r="L4">
        <f t="shared" si="0"/>
        <v>0.86499999999999999</v>
      </c>
    </row>
    <row r="5" spans="1:12" x14ac:dyDescent="0.15">
      <c r="A5" t="s">
        <v>22</v>
      </c>
      <c r="B5">
        <v>200</v>
      </c>
      <c r="C5">
        <v>53</v>
      </c>
      <c r="D5">
        <v>47</v>
      </c>
      <c r="E5">
        <v>100</v>
      </c>
      <c r="F5" t="s">
        <v>23</v>
      </c>
      <c r="G5" t="s">
        <v>24</v>
      </c>
      <c r="H5" t="s">
        <v>25</v>
      </c>
      <c r="I5">
        <v>26.5</v>
      </c>
      <c r="J5">
        <v>23.5</v>
      </c>
      <c r="K5">
        <v>50</v>
      </c>
      <c r="L5">
        <f t="shared" si="0"/>
        <v>0.76500000000000001</v>
      </c>
    </row>
    <row r="6" spans="1:12" x14ac:dyDescent="0.15">
      <c r="A6" t="s">
        <v>26</v>
      </c>
      <c r="B6">
        <v>200</v>
      </c>
      <c r="C6">
        <v>32</v>
      </c>
      <c r="D6">
        <v>52</v>
      </c>
      <c r="E6">
        <v>116</v>
      </c>
      <c r="F6" t="s">
        <v>27</v>
      </c>
      <c r="G6" t="s">
        <v>28</v>
      </c>
      <c r="H6" t="s">
        <v>29</v>
      </c>
      <c r="I6">
        <v>16</v>
      </c>
      <c r="J6">
        <v>26</v>
      </c>
      <c r="K6">
        <v>58</v>
      </c>
      <c r="L6">
        <f t="shared" si="0"/>
        <v>0.74</v>
      </c>
    </row>
    <row r="7" spans="1:12" x14ac:dyDescent="0.15">
      <c r="A7" t="s">
        <v>30</v>
      </c>
      <c r="B7">
        <v>324</v>
      </c>
      <c r="C7">
        <v>62</v>
      </c>
      <c r="D7">
        <v>80</v>
      </c>
      <c r="E7">
        <v>182</v>
      </c>
      <c r="F7" t="s">
        <v>31</v>
      </c>
      <c r="G7" t="s">
        <v>32</v>
      </c>
      <c r="H7" t="s">
        <v>33</v>
      </c>
      <c r="I7">
        <v>19.100000000000001</v>
      </c>
      <c r="J7">
        <v>24.7</v>
      </c>
      <c r="K7">
        <v>56.2</v>
      </c>
      <c r="L7">
        <f t="shared" si="0"/>
        <v>0.75308641975308643</v>
      </c>
    </row>
    <row r="8" spans="1:12" x14ac:dyDescent="0.15">
      <c r="C8">
        <f>C2+C4+C3+C5+C6+C7</f>
        <v>552</v>
      </c>
      <c r="D8">
        <f>D2+D3+D4+D5+D6+D7</f>
        <v>209</v>
      </c>
      <c r="E8">
        <f>E2+E3+E4+E5+E6+E7</f>
        <v>563</v>
      </c>
      <c r="L8">
        <f>(C8+E8)/1324*100%</f>
        <v>0.84214501510574014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胜率统计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荣发 曾</cp:lastModifiedBy>
  <dcterms:created xsi:type="dcterms:W3CDTF">2025-03-20T07:07:31Z</dcterms:created>
  <dcterms:modified xsi:type="dcterms:W3CDTF">2025-03-20T09:11:12Z</dcterms:modified>
</cp:coreProperties>
</file>